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laragon\www\drs\"/>
    </mc:Choice>
  </mc:AlternateContent>
  <xr:revisionPtr revIDLastSave="0" documentId="13_ncr:1_{16F044E6-A9E9-4029-B919-772B8700EC74}" xr6:coauthVersionLast="47" xr6:coauthVersionMax="47" xr10:uidLastSave="{00000000-0000-0000-0000-000000000000}"/>
  <bookViews>
    <workbookView xWindow="-21780" yWindow="-675" windowWidth="20625" windowHeight="13875" xr2:uid="{00000000-000D-0000-FFFF-FFFF00000000}"/>
  </bookViews>
  <sheets>
    <sheet name="Contact List - 2026" sheetId="1" r:id="rId1"/>
    <sheet name="Comments" sheetId="2" r:id="rId2"/>
  </sheets>
  <definedNames>
    <definedName name="_xlnm._FilterDatabase" localSheetId="0" hidden="1">'Contact List - 2026'!$A$1:$K$53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</calcChain>
</file>

<file path=xl/sharedStrings.xml><?xml version="1.0" encoding="utf-8"?>
<sst xmlns="http://schemas.openxmlformats.org/spreadsheetml/2006/main" count="328" uniqueCount="243">
  <si>
    <t>Number</t>
  </si>
  <si>
    <t>Trigram</t>
  </si>
  <si>
    <t>FA</t>
  </si>
  <si>
    <t>DRS Focal Point (Customers)</t>
  </si>
  <si>
    <t>Division</t>
  </si>
  <si>
    <t>Focal Point Name</t>
  </si>
  <si>
    <t>Email Adderss</t>
  </si>
  <si>
    <t>Mobile Number</t>
  </si>
  <si>
    <t>Whatsapp number</t>
  </si>
  <si>
    <t>Complete FA name</t>
  </si>
  <si>
    <t>ICT</t>
  </si>
  <si>
    <t>Administration</t>
  </si>
  <si>
    <t>Aisha Al-Kuwari</t>
  </si>
  <si>
    <t>a.alkuwari@sc.qa</t>
  </si>
  <si>
    <t>ICT - ICT</t>
  </si>
  <si>
    <t>WKF</t>
  </si>
  <si>
    <t>Workforce</t>
  </si>
  <si>
    <t xml:space="preserve">Prakash Rajendran </t>
  </si>
  <si>
    <t>t.rajendran@sc.qa</t>
  </si>
  <si>
    <t>WKF - Workforce</t>
  </si>
  <si>
    <t>EXP</t>
  </si>
  <si>
    <t>Experience</t>
  </si>
  <si>
    <t>Elie Gebrael</t>
  </si>
  <si>
    <t>CEO</t>
  </si>
  <si>
    <t>e.gebrael@sc.qa</t>
  </si>
  <si>
    <t>EXP - Experience</t>
  </si>
  <si>
    <t>CMP</t>
  </si>
  <si>
    <t>FNB</t>
  </si>
  <si>
    <t>F&amp;B Concessions</t>
  </si>
  <si>
    <t xml:space="preserve">Chady Maalouly  </t>
  </si>
  <si>
    <t>c.maalouly@sc.qa</t>
  </si>
  <si>
    <t>FNB - F&amp;B Concessions</t>
  </si>
  <si>
    <t>Event Services</t>
  </si>
  <si>
    <t xml:space="preserve">LOG </t>
  </si>
  <si>
    <t>Logistics</t>
  </si>
  <si>
    <t>Mahmoud El Batal</t>
  </si>
  <si>
    <t xml:space="preserve">m.elbatal@sc.qa </t>
  </si>
  <si>
    <t>LOG - Logistics</t>
  </si>
  <si>
    <t>MED</t>
  </si>
  <si>
    <t>Medical</t>
  </si>
  <si>
    <t>Dr Khalid Alkhelaifi</t>
  </si>
  <si>
    <t>Khalid.Alkhelaifi@aspetar.com</t>
  </si>
  <si>
    <t>MED - Medical</t>
  </si>
  <si>
    <t>MOB</t>
  </si>
  <si>
    <t>Mobility</t>
  </si>
  <si>
    <t>Ghanim Nasser M A Al-Kawari</t>
  </si>
  <si>
    <t>g.alkawari@sc.qa</t>
  </si>
  <si>
    <t>MOB - Mobility</t>
  </si>
  <si>
    <t>HAY</t>
  </si>
  <si>
    <t>Hayya</t>
  </si>
  <si>
    <t>Essa Al Bader</t>
  </si>
  <si>
    <t>ealbader@hayya.qa</t>
  </si>
  <si>
    <t>HAY - Hayya</t>
  </si>
  <si>
    <t>BMR</t>
  </si>
  <si>
    <t>Broadcasting &amp; Media Rights</t>
  </si>
  <si>
    <t>Marketing, Promotion, Events &amp; Commercial</t>
  </si>
  <si>
    <t>Jamale Darjani</t>
  </si>
  <si>
    <t>jdarjani@qfa.qa</t>
  </si>
  <si>
    <t>BMR - Broadcasting &amp; Media Rights</t>
  </si>
  <si>
    <t>CER</t>
  </si>
  <si>
    <t>Ceremonies &amp; Infotainment</t>
  </si>
  <si>
    <t>Fawzy Mohamed</t>
  </si>
  <si>
    <t>f.semsem@sc.qa</t>
  </si>
  <si>
    <t>5572 2780</t>
  </si>
  <si>
    <t>CER - Ceremonies &amp; Infotainment</t>
  </si>
  <si>
    <t>MRD</t>
  </si>
  <si>
    <t>Commercial/Marketing Rights Delivery</t>
  </si>
  <si>
    <t>MRD - Marketing Rights Delivery</t>
  </si>
  <si>
    <t xml:space="preserve">MRD </t>
  </si>
  <si>
    <t>MRD - Youth Programme (Ball Crew + PEK)</t>
  </si>
  <si>
    <t xml:space="preserve">Frank John Woolgar </t>
  </si>
  <si>
    <t>john.woolgar@nia-newtonschools.com</t>
  </si>
  <si>
    <t xml:space="preserve">Youth Programme </t>
  </si>
  <si>
    <t>SGN</t>
  </si>
  <si>
    <t>Signage &amp; Dressing</t>
  </si>
  <si>
    <t>Alexandra Oikonomidou</t>
  </si>
  <si>
    <t>a.oikonomidou@sc.qa</t>
  </si>
  <si>
    <t>SGN - Signage &amp; Dressing</t>
  </si>
  <si>
    <t>SHU</t>
  </si>
  <si>
    <t>Shukran</t>
  </si>
  <si>
    <t>Nabil Qayed Zain</t>
  </si>
  <si>
    <t>nqayed@qfa.qa</t>
  </si>
  <si>
    <t>SHU - Shukran</t>
  </si>
  <si>
    <t>TKT</t>
  </si>
  <si>
    <t>Ticketing(onsite operations)</t>
  </si>
  <si>
    <t>Victoriya Chmykh</t>
  </si>
  <si>
    <t>v.chmykh@loc.qa</t>
  </si>
  <si>
    <t>TKT - Ticketing</t>
  </si>
  <si>
    <t>ACR</t>
  </si>
  <si>
    <t>Accreditation</t>
  </si>
  <si>
    <t>Operations</t>
  </si>
  <si>
    <t>Hajash Valappil</t>
  </si>
  <si>
    <t>h.valappil@sc.qa</t>
  </si>
  <si>
    <t>ACR - Accreditation</t>
  </si>
  <si>
    <t>ACS</t>
  </si>
  <si>
    <t>Access Management</t>
  </si>
  <si>
    <t>Abdulrahman Al Sharshani</t>
  </si>
  <si>
    <t>a.alsharshani@sc.qa</t>
  </si>
  <si>
    <t>ACS - Access Management</t>
  </si>
  <si>
    <t>BRO</t>
  </si>
  <si>
    <t>Broadcast Operations</t>
  </si>
  <si>
    <t>Natalia Alyabyeva</t>
  </si>
  <si>
    <t>n.alyabyeva@sc.qa</t>
  </si>
  <si>
    <t>BRO - Broadcast Operations</t>
  </si>
  <si>
    <t>BRS</t>
  </si>
  <si>
    <t>Broadcast Services</t>
  </si>
  <si>
    <t>Diala Saliba</t>
  </si>
  <si>
    <t>d.saliba@sc.qa</t>
  </si>
  <si>
    <t>BRS - Broadcast Services</t>
  </si>
  <si>
    <t>CLW</t>
  </si>
  <si>
    <t>Cleaning &amp; Waste</t>
  </si>
  <si>
    <t>Luay Abu Hijleh</t>
  </si>
  <si>
    <t>l.hijleh@sc.qa</t>
  </si>
  <si>
    <t>CLW - Cleaning &amp; Waste</t>
  </si>
  <si>
    <t>GOP</t>
  </si>
  <si>
    <t>Guest Operations</t>
  </si>
  <si>
    <t>Vera Turuntseva</t>
  </si>
  <si>
    <t>v.turuntseva@sc.qa</t>
  </si>
  <si>
    <t>GOP - Guest Operations</t>
  </si>
  <si>
    <t>HSE</t>
  </si>
  <si>
    <t>Health &amp; Safety</t>
  </si>
  <si>
    <t xml:space="preserve">Nasser Alnaimi </t>
  </si>
  <si>
    <t>n.alnaimi@sc.qa</t>
  </si>
  <si>
    <t>HSE - Health &amp; Safety</t>
  </si>
  <si>
    <t>MEO</t>
  </si>
  <si>
    <t>Media Operations</t>
  </si>
  <si>
    <t>Wasan Al-Jaber</t>
  </si>
  <si>
    <t>wy.aljaber@sc.qa</t>
  </si>
  <si>
    <t>MEO - Media Operations</t>
  </si>
  <si>
    <t>OVL</t>
  </si>
  <si>
    <t>Overlay</t>
  </si>
  <si>
    <t>Nauman Sarang</t>
  </si>
  <si>
    <t xml:space="preserve">n.sarang@sc.qa </t>
  </si>
  <si>
    <t>OVL - Overlay</t>
  </si>
  <si>
    <t>PWR</t>
  </si>
  <si>
    <t>Power</t>
  </si>
  <si>
    <t>Dmitrii Solonenkin</t>
  </si>
  <si>
    <t>d.solonenkin@sc.qa</t>
  </si>
  <si>
    <t>PWR - Power</t>
  </si>
  <si>
    <t>Amr Abouelghit</t>
  </si>
  <si>
    <t>a.abouelghit@sc.qa</t>
  </si>
  <si>
    <t>SFM</t>
  </si>
  <si>
    <t>Facility &amp; Stadium Management</t>
  </si>
  <si>
    <t>Kiran Bairagi</t>
  </si>
  <si>
    <t>k.bairagi@sc.qa</t>
  </si>
  <si>
    <t>SFM - Facility &amp; Stadium Management</t>
  </si>
  <si>
    <t>Ramesh Gowda</t>
  </si>
  <si>
    <t>r.gowda@sc.qa</t>
  </si>
  <si>
    <t>SPS</t>
  </si>
  <si>
    <t>Spectator Services</t>
  </si>
  <si>
    <t>Kelly Johnston</t>
  </si>
  <si>
    <t>k.johnston@sc.qa</t>
  </si>
  <si>
    <t>SPS - Spectator Services</t>
  </si>
  <si>
    <t>SSI</t>
  </si>
  <si>
    <t>Security Systems Integration</t>
  </si>
  <si>
    <t>Rashed Aladdamat</t>
  </si>
  <si>
    <t>r.aladdamat@sc.qa</t>
  </si>
  <si>
    <t>SSI - Security Systems Integration</t>
  </si>
  <si>
    <t>VUM</t>
  </si>
  <si>
    <t>Venue Management</t>
  </si>
  <si>
    <t>Sultan Yousuf Al-Obaidan</t>
  </si>
  <si>
    <t>s.alobaidan@sc.qa</t>
  </si>
  <si>
    <t>5598 2298</t>
  </si>
  <si>
    <t>VUM - Venue Management</t>
  </si>
  <si>
    <t>Aleksei Berezin</t>
  </si>
  <si>
    <t>a.berezin@sc.qa</t>
  </si>
  <si>
    <t>5557 6638</t>
  </si>
  <si>
    <t>Sawsan Alsaleh</t>
  </si>
  <si>
    <t>s.alsaleh@sc.qa</t>
  </si>
  <si>
    <t>6658 5770</t>
  </si>
  <si>
    <t>Ghalya Al-Janahi</t>
  </si>
  <si>
    <t>g.aljanahi@loc.qa</t>
  </si>
  <si>
    <t>Mohamed Ali</t>
  </si>
  <si>
    <t>mohd.ali@sc.qa</t>
  </si>
  <si>
    <t>Zachariah Joseph</t>
  </si>
  <si>
    <t>SFG</t>
  </si>
  <si>
    <t>Safeguarding</t>
  </si>
  <si>
    <t xml:space="preserve">Hamad Abdulaziz </t>
  </si>
  <si>
    <t>SFG - Safeguarding</t>
  </si>
  <si>
    <t>SUS</t>
  </si>
  <si>
    <t>Sustainability</t>
  </si>
  <si>
    <t>Maya Nachabe</t>
  </si>
  <si>
    <t>m.nachabe@sc.qa</t>
  </si>
  <si>
    <t>SUS - Sustainability</t>
  </si>
  <si>
    <t>HOS</t>
  </si>
  <si>
    <t>Hospitality</t>
  </si>
  <si>
    <t>Hassan Ali Moukhtar</t>
  </si>
  <si>
    <t>hmoukhtar@qfa.qa</t>
  </si>
  <si>
    <t>CAT</t>
  </si>
  <si>
    <t xml:space="preserve">Catering </t>
  </si>
  <si>
    <t>Noha Ziedan</t>
  </si>
  <si>
    <t>n.ziedan@sc.qa</t>
  </si>
  <si>
    <t>COM</t>
  </si>
  <si>
    <t>Communications</t>
  </si>
  <si>
    <t>Moetaz Abdelmohssen</t>
  </si>
  <si>
    <t>m.abdelmohssen@sc.qa</t>
  </si>
  <si>
    <t>Mohamed Al-Khanji</t>
  </si>
  <si>
    <t>m.alkhanji@sc.qa</t>
  </si>
  <si>
    <t>Zaid Aldababseh</t>
  </si>
  <si>
    <t>za.aldababseh@sc.qa</t>
  </si>
  <si>
    <t>Fedor Turbin</t>
  </si>
  <si>
    <t>f.turbin@sc.qa</t>
  </si>
  <si>
    <t>SEC</t>
  </si>
  <si>
    <t>SSOC</t>
  </si>
  <si>
    <t>SEC - SSOC</t>
  </si>
  <si>
    <t>Others</t>
  </si>
  <si>
    <t>- Others</t>
  </si>
  <si>
    <t>Operations Services (MEO, BRO, BRS, GEO)</t>
  </si>
  <si>
    <t>- Operations Services (MEO, BRO, BRS, GEO)</t>
  </si>
  <si>
    <t>Event Services Focal Point</t>
  </si>
  <si>
    <t>- Event Services Focal Point</t>
  </si>
  <si>
    <t>Marketing central</t>
  </si>
  <si>
    <t>- Marketing central</t>
  </si>
  <si>
    <t>Anti-Doping</t>
  </si>
  <si>
    <t>- Anti-Doping</t>
  </si>
  <si>
    <t>Operations Central</t>
  </si>
  <si>
    <t>- Operations Central</t>
  </si>
  <si>
    <t xml:space="preserve">Anas Poolakkaparambil
a.poolakkaparambil@sc.qa </t>
  </si>
  <si>
    <t>Prakash Rajendran 
t.rajendran@sc.qa</t>
  </si>
  <si>
    <t>Elie Gebrael
e.gebrael@sc.qa</t>
  </si>
  <si>
    <t>Tamara Kemulariya 
t.kemulariya@sc.qa</t>
  </si>
  <si>
    <t xml:space="preserve">Mahmoud El Batal
m.elbatal@sc.qa </t>
  </si>
  <si>
    <t>Sunil Ramsumar
sramsumar@hamad.qa</t>
  </si>
  <si>
    <t>Iyad Hasan
i.hasan@sc.qa</t>
  </si>
  <si>
    <t>Mohamed Taha
MTaha@hayya.qa</t>
  </si>
  <si>
    <t>Rana Bou Dagher 
r.dagher@loc.qa</t>
  </si>
  <si>
    <t>Brad Habana
b.habana@loc.qa</t>
  </si>
  <si>
    <t>Alexandra Oikonomidou
a.oikonomidou@sc.qa</t>
  </si>
  <si>
    <t>Haseeb Mirza
hmirza@qsl.com.qa</t>
  </si>
  <si>
    <t>Abdulrahman Al Sharshani, 
a.alsharshani@sc.qa
Bared Halajian
b.halajian@sc.qa</t>
  </si>
  <si>
    <t>Natalia Alyabyeva
n.alyabyeva@sc.qa</t>
  </si>
  <si>
    <t>Diala Saliba
d.saliba@sc.qa</t>
  </si>
  <si>
    <t>Luay Abu Hijleh
l.hijleh@sc.qa</t>
  </si>
  <si>
    <t>Aalee Daniels
a.daniels@loc.qa</t>
  </si>
  <si>
    <t>Christine Todd
c.todd@sc.qa</t>
  </si>
  <si>
    <t>Maryam Nazih ( to be provided )</t>
  </si>
  <si>
    <t>Maha Ali
maha.mohamed@loc.qa</t>
  </si>
  <si>
    <t>HASSAN ALI MOKHTAR
hmoukhtar@qfa.qa</t>
  </si>
  <si>
    <t>Hebatallah Al Sayed
h.alsayed@sc.qa</t>
  </si>
  <si>
    <t xml:space="preserve">CAT - Catering </t>
  </si>
  <si>
    <t>HOS - Hospitality</t>
  </si>
  <si>
    <t>sc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</si>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</sst>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indexed="8"/>
      <name val="Aptos Narrow"/>
      <family val="2"/>
      <scheme val="minor"/>
    </font>
    <font>
      <b/>
      <sz val="12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indexed="8"/>
      <name val="Verdana"/>
      <family val="2"/>
    </font>
    <font>
      <u/>
      <sz val="11"/>
      <color theme="10"/>
      <name val="Verdana"/>
      <family val="2"/>
    </font>
    <font>
      <u/>
      <sz val="10"/>
      <color theme="10"/>
      <name val="Verdana"/>
      <family val="2"/>
    </font>
    <font>
      <sz val="11"/>
      <color rgb="FF242424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E1AF"/>
      </patternFill>
    </fill>
    <fill>
      <patternFill patternType="solid">
        <fgColor rgb="FFEBC7EF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E1AF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71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vertical="top"/>
    </xf>
    <xf numFmtId="0" fontId="2" fillId="3" borderId="0" xfId="0" applyFont="1" applyFill="1" applyAlignment="1">
      <alignment vertical="top"/>
    </xf>
    <xf numFmtId="0" fontId="5" fillId="0" borderId="0" xfId="0" applyFont="1"/>
    <xf numFmtId="0" fontId="3" fillId="2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/>
    </xf>
    <xf numFmtId="0" fontId="3" fillId="3" borderId="3" xfId="0" applyFont="1" applyFill="1" applyBorder="1" applyAlignment="1">
      <alignment horizontal="left" vertical="center"/>
    </xf>
    <xf numFmtId="0" fontId="7" fillId="4" borderId="4" xfId="0" applyFont="1" applyFill="1" applyBorder="1" applyAlignment="1">
      <alignment horizontal="left" vertical="center"/>
    </xf>
    <xf numFmtId="0" fontId="7" fillId="5" borderId="4" xfId="0" applyFont="1" applyFill="1" applyBorder="1"/>
    <xf numFmtId="0" fontId="7" fillId="5" borderId="4" xfId="0" applyFont="1" applyFill="1" applyBorder="1" applyAlignment="1">
      <alignment wrapText="1"/>
    </xf>
    <xf numFmtId="0" fontId="9" fillId="5" borderId="4" xfId="1" applyFont="1" applyFill="1" applyBorder="1"/>
    <xf numFmtId="0" fontId="7" fillId="5" borderId="4" xfId="0" applyFont="1" applyFill="1" applyBorder="1" applyAlignment="1">
      <alignment horizontal="left"/>
    </xf>
    <xf numFmtId="0" fontId="8" fillId="2" borderId="1" xfId="1" applyFont="1" applyFill="1" applyBorder="1" applyAlignment="1">
      <alignment horizontal="left" vertical="center"/>
    </xf>
    <xf numFmtId="0" fontId="8" fillId="3" borderId="1" xfId="1" applyFont="1" applyFill="1" applyBorder="1" applyAlignment="1">
      <alignment horizontal="left" vertical="center"/>
    </xf>
    <xf numFmtId="0" fontId="8" fillId="2" borderId="1" xfId="1" applyFont="1" applyFill="1" applyBorder="1" applyAlignment="1">
      <alignment horizontal="left" vertical="center" wrapText="1"/>
    </xf>
    <xf numFmtId="0" fontId="9" fillId="3" borderId="1" xfId="1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/>
    </xf>
    <xf numFmtId="0" fontId="6" fillId="2" borderId="1" xfId="1" applyFill="1" applyBorder="1" applyAlignment="1">
      <alignment horizontal="left" vertical="center"/>
    </xf>
    <xf numFmtId="0" fontId="3" fillId="3" borderId="4" xfId="0" applyFont="1" applyFill="1" applyBorder="1" applyAlignment="1">
      <alignment horizontal="left" vertical="center"/>
    </xf>
    <xf numFmtId="0" fontId="6" fillId="3" borderId="4" xfId="1" applyFill="1" applyBorder="1" applyAlignment="1">
      <alignment horizontal="left" vertical="center"/>
    </xf>
    <xf numFmtId="0" fontId="8" fillId="3" borderId="2" xfId="1" applyFont="1" applyFill="1" applyBorder="1" applyAlignment="1">
      <alignment horizontal="left" vertical="center"/>
    </xf>
    <xf numFmtId="0" fontId="6" fillId="3" borderId="1" xfId="1" applyFill="1" applyBorder="1" applyAlignment="1">
      <alignment horizontal="left" vertical="center"/>
    </xf>
    <xf numFmtId="0" fontId="7" fillId="5" borderId="0" xfId="0" applyFont="1" applyFill="1"/>
    <xf numFmtId="0" fontId="6" fillId="5" borderId="4" xfId="1" applyFill="1" applyBorder="1"/>
    <xf numFmtId="0" fontId="7" fillId="5" borderId="5" xfId="0" applyFont="1" applyFill="1" applyBorder="1"/>
    <xf numFmtId="0" fontId="7" fillId="5" borderId="5" xfId="0" applyFont="1" applyFill="1" applyBorder="1" applyAlignment="1">
      <alignment horizontal="left"/>
    </xf>
    <xf numFmtId="0" fontId="7" fillId="5" borderId="5" xfId="0" applyFont="1" applyFill="1" applyBorder="1" applyAlignment="1">
      <alignment wrapText="1"/>
    </xf>
    <xf numFmtId="0" fontId="7" fillId="5" borderId="8" xfId="0" applyFont="1" applyFill="1" applyBorder="1"/>
    <xf numFmtId="0" fontId="3" fillId="2" borderId="4" xfId="0" applyFont="1" applyFill="1" applyBorder="1" applyAlignment="1">
      <alignment horizontal="left" vertical="center"/>
    </xf>
    <xf numFmtId="0" fontId="7" fillId="5" borderId="9" xfId="0" applyFont="1" applyFill="1" applyBorder="1"/>
    <xf numFmtId="0" fontId="4" fillId="3" borderId="3" xfId="0" applyFont="1" applyFill="1" applyBorder="1" applyAlignment="1">
      <alignment horizontal="left" vertical="center"/>
    </xf>
    <xf numFmtId="0" fontId="6" fillId="5" borderId="5" xfId="1" applyFill="1" applyBorder="1"/>
    <xf numFmtId="0" fontId="7" fillId="5" borderId="10" xfId="0" applyFont="1" applyFill="1" applyBorder="1"/>
    <xf numFmtId="0" fontId="6" fillId="5" borderId="10" xfId="1" applyFill="1" applyBorder="1"/>
    <xf numFmtId="0" fontId="7" fillId="5" borderId="10" xfId="0" applyFont="1" applyFill="1" applyBorder="1" applyAlignment="1">
      <alignment horizontal="left"/>
    </xf>
    <xf numFmtId="0" fontId="7" fillId="5" borderId="10" xfId="0" applyFont="1" applyFill="1" applyBorder="1" applyAlignment="1">
      <alignment wrapText="1"/>
    </xf>
    <xf numFmtId="0" fontId="1" fillId="7" borderId="0" xfId="0" applyFont="1" applyFill="1"/>
    <xf numFmtId="0" fontId="3" fillId="7" borderId="1" xfId="0" applyFont="1" applyFill="1" applyBorder="1" applyAlignment="1">
      <alignment horizontal="left" vertical="center"/>
    </xf>
    <xf numFmtId="0" fontId="3" fillId="7" borderId="2" xfId="0" applyFont="1" applyFill="1" applyBorder="1" applyAlignment="1">
      <alignment horizontal="left" vertical="center"/>
    </xf>
    <xf numFmtId="0" fontId="3" fillId="7" borderId="4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vertical="top"/>
    </xf>
    <xf numFmtId="0" fontId="8" fillId="2" borderId="4" xfId="1" applyFont="1" applyFill="1" applyBorder="1" applyAlignment="1">
      <alignment horizontal="left" vertical="center"/>
    </xf>
    <xf numFmtId="0" fontId="5" fillId="0" borderId="4" xfId="0" applyFont="1" applyBorder="1"/>
    <xf numFmtId="0" fontId="3" fillId="6" borderId="16" xfId="0" applyFont="1" applyFill="1" applyBorder="1" applyAlignment="1">
      <alignment vertical="center"/>
    </xf>
    <xf numFmtId="0" fontId="3" fillId="2" borderId="8" xfId="0" applyFont="1" applyFill="1" applyBorder="1" applyAlignment="1">
      <alignment horizontal="left" vertical="center"/>
    </xf>
    <xf numFmtId="0" fontId="3" fillId="2" borderId="16" xfId="0" applyFont="1" applyFill="1" applyBorder="1" applyAlignment="1">
      <alignment horizontal="left" vertical="center"/>
    </xf>
    <xf numFmtId="0" fontId="3" fillId="7" borderId="3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6" fillId="4" borderId="4" xfId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3" fillId="7" borderId="4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10" fillId="7" borderId="2" xfId="0" applyFont="1" applyFill="1" applyBorder="1" applyAlignment="1">
      <alignment horizontal="center" vertical="center" wrapText="1"/>
    </xf>
    <xf numFmtId="0" fontId="3" fillId="7" borderId="15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 wrapText="1"/>
    </xf>
    <xf numFmtId="0" fontId="7" fillId="7" borderId="11" xfId="0" applyFont="1" applyFill="1" applyBorder="1" applyAlignment="1">
      <alignment horizontal="center"/>
    </xf>
    <xf numFmtId="0" fontId="7" fillId="7" borderId="12" xfId="0" applyFont="1" applyFill="1" applyBorder="1" applyAlignment="1">
      <alignment horizontal="center"/>
    </xf>
    <xf numFmtId="0" fontId="7" fillId="7" borderId="13" xfId="0" applyFont="1" applyFill="1" applyBorder="1" applyAlignment="1">
      <alignment horizontal="center"/>
    </xf>
    <xf numFmtId="0" fontId="7" fillId="7" borderId="14" xfId="0" applyFont="1" applyFill="1" applyBorder="1" applyAlignment="1">
      <alignment horizontal="center" vertical="center" wrapText="1"/>
    </xf>
    <xf numFmtId="0" fontId="5" fillId="5" borderId="0" xfId="0" applyFon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EBC7EF"/>
      <color rgb="FFFFE1A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mailto:n.alnaimi@sc.qa" TargetMode="External"/><Relationship Id="rId18" Type="http://schemas.openxmlformats.org/officeDocument/2006/relationships/hyperlink" Target="mailto:g.aljanahi@loc.qa" TargetMode="External"/><Relationship Id="rId26" Type="http://schemas.openxmlformats.org/officeDocument/2006/relationships/hyperlink" Target="mailto:v.chmykh@loc.qa" TargetMode="External"/><Relationship Id="rId39" Type="http://schemas.openxmlformats.org/officeDocument/2006/relationships/hyperlink" Target="mailto:f.turbin@sc.qa" TargetMode="External"/><Relationship Id="rId21" Type="http://schemas.openxmlformats.org/officeDocument/2006/relationships/hyperlink" Target="mailto:ealbader@hayya.qa" TargetMode="External"/><Relationship Id="rId34" Type="http://schemas.openxmlformats.org/officeDocument/2006/relationships/hyperlink" Target="mailto:n.alyabyeva@sc.qa" TargetMode="External"/><Relationship Id="rId42" Type="http://schemas.openxmlformats.org/officeDocument/2006/relationships/hyperlink" Target="mailto:jdarjani@qfa.qa" TargetMode="External"/><Relationship Id="rId7" Type="http://schemas.openxmlformats.org/officeDocument/2006/relationships/hyperlink" Target="mailto:h.valappil@sc.qa" TargetMode="External"/><Relationship Id="rId2" Type="http://schemas.openxmlformats.org/officeDocument/2006/relationships/hyperlink" Target="mailto:t.rajendran@sc.qa" TargetMode="External"/><Relationship Id="rId16" Type="http://schemas.openxmlformats.org/officeDocument/2006/relationships/hyperlink" Target="mailto:a.berezin@sc.qa" TargetMode="External"/><Relationship Id="rId20" Type="http://schemas.openxmlformats.org/officeDocument/2006/relationships/hyperlink" Target="mailto:r.aladdamat@sc.qa" TargetMode="External"/><Relationship Id="rId29" Type="http://schemas.openxmlformats.org/officeDocument/2006/relationships/hyperlink" Target="mailto:m.elbatal@sc.qa" TargetMode="External"/><Relationship Id="rId41" Type="http://schemas.openxmlformats.org/officeDocument/2006/relationships/hyperlink" Target="mailto:john.woolgar@nia-newtonschools.com" TargetMode="External"/><Relationship Id="rId1" Type="http://schemas.openxmlformats.org/officeDocument/2006/relationships/hyperlink" Target="mailto:e.gebrael@sc.qa" TargetMode="External"/><Relationship Id="rId6" Type="http://schemas.openxmlformats.org/officeDocument/2006/relationships/hyperlink" Target="mailto:r.gowda@sc.qa" TargetMode="External"/><Relationship Id="rId11" Type="http://schemas.openxmlformats.org/officeDocument/2006/relationships/hyperlink" Target="mailto:c.maalouly@sc.qa" TargetMode="External"/><Relationship Id="rId24" Type="http://schemas.openxmlformats.org/officeDocument/2006/relationships/hyperlink" Target="mailto:a.alkuwari@sc.qa" TargetMode="External"/><Relationship Id="rId32" Type="http://schemas.openxmlformats.org/officeDocument/2006/relationships/hyperlink" Target="mailto:wy.aljaber@sc.qa" TargetMode="External"/><Relationship Id="rId37" Type="http://schemas.openxmlformats.org/officeDocument/2006/relationships/hyperlink" Target="mailto:m.abdelmohssen@sc.qa" TargetMode="External"/><Relationship Id="rId40" Type="http://schemas.openxmlformats.org/officeDocument/2006/relationships/hyperlink" Target="mailto:za.aldababseh@sc.qa" TargetMode="External"/><Relationship Id="rId5" Type="http://schemas.openxmlformats.org/officeDocument/2006/relationships/hyperlink" Target="mailto:k.bairagi@sc.qa" TargetMode="External"/><Relationship Id="rId15" Type="http://schemas.openxmlformats.org/officeDocument/2006/relationships/hyperlink" Target="mailto:s.alobaidan@sc.qa" TargetMode="External"/><Relationship Id="rId23" Type="http://schemas.openxmlformats.org/officeDocument/2006/relationships/hyperlink" Target="mailto:a.alsharshani@sc.qa" TargetMode="External"/><Relationship Id="rId28" Type="http://schemas.openxmlformats.org/officeDocument/2006/relationships/hyperlink" Target="mailto:n.ziedan@sc.qa" TargetMode="External"/><Relationship Id="rId36" Type="http://schemas.openxmlformats.org/officeDocument/2006/relationships/hyperlink" Target="mailto:a.oikonomidou@sc.qa" TargetMode="External"/><Relationship Id="rId10" Type="http://schemas.openxmlformats.org/officeDocument/2006/relationships/hyperlink" Target="mailto:a.abouelghit@sc.qa" TargetMode="External"/><Relationship Id="rId19" Type="http://schemas.openxmlformats.org/officeDocument/2006/relationships/hyperlink" Target="mailto:mohd.ali@sc.qa" TargetMode="External"/><Relationship Id="rId31" Type="http://schemas.openxmlformats.org/officeDocument/2006/relationships/hyperlink" Target="mailto:nqayed@qfa.qa" TargetMode="External"/><Relationship Id="rId4" Type="http://schemas.openxmlformats.org/officeDocument/2006/relationships/hyperlink" Target="mailto:f.semsem@sc.qa" TargetMode="External"/><Relationship Id="rId9" Type="http://schemas.openxmlformats.org/officeDocument/2006/relationships/hyperlink" Target="mailto:d.solonenkin@sc.qa" TargetMode="External"/><Relationship Id="rId14" Type="http://schemas.openxmlformats.org/officeDocument/2006/relationships/hyperlink" Target="mailto:m.nachabe@sc.qa" TargetMode="External"/><Relationship Id="rId22" Type="http://schemas.openxmlformats.org/officeDocument/2006/relationships/hyperlink" Target="mailto:k.johnston@sc.qa" TargetMode="External"/><Relationship Id="rId27" Type="http://schemas.openxmlformats.org/officeDocument/2006/relationships/hyperlink" Target="mailto:g.alkawari@sc.qa" TargetMode="External"/><Relationship Id="rId30" Type="http://schemas.openxmlformats.org/officeDocument/2006/relationships/hyperlink" Target="mailto:v.turuntseva@sc.qa" TargetMode="External"/><Relationship Id="rId35" Type="http://schemas.openxmlformats.org/officeDocument/2006/relationships/hyperlink" Target="mailto:Khalid.Alkhelaifi@aspetar.com" TargetMode="External"/><Relationship Id="rId8" Type="http://schemas.openxmlformats.org/officeDocument/2006/relationships/hyperlink" Target="mailto:n.sarang@sc.qa" TargetMode="External"/><Relationship Id="rId3" Type="http://schemas.openxmlformats.org/officeDocument/2006/relationships/hyperlink" Target="mailto:jdarjani@qfa.qa" TargetMode="External"/><Relationship Id="rId12" Type="http://schemas.openxmlformats.org/officeDocument/2006/relationships/hyperlink" Target="mailto:l.hijleh@sc.qa" TargetMode="External"/><Relationship Id="rId17" Type="http://schemas.openxmlformats.org/officeDocument/2006/relationships/hyperlink" Target="mailto:s.alsaleh@sc.qa" TargetMode="External"/><Relationship Id="rId25" Type="http://schemas.openxmlformats.org/officeDocument/2006/relationships/hyperlink" Target="mailto:hmoukhtar@qfa.qa" TargetMode="External"/><Relationship Id="rId33" Type="http://schemas.openxmlformats.org/officeDocument/2006/relationships/hyperlink" Target="mailto:d.saliba@sc.qa" TargetMode="External"/><Relationship Id="rId38" Type="http://schemas.openxmlformats.org/officeDocument/2006/relationships/hyperlink" Target="mailto:m.alkhanji@sc.q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/>
  </sheetPr>
  <dimension ref="A1:L53"/>
  <sheetViews>
    <sheetView tabSelected="1" topLeftCell="B1" zoomScale="85" zoomScaleNormal="85" workbookViewId="0">
      <selection activeCell="K30" sqref="K30"/>
    </sheetView>
  </sheetViews>
  <sheetFormatPr defaultColWidth="8.85546875" defaultRowHeight="15" x14ac:dyDescent="0.25"/>
  <cols>
    <col min="1" max="1" width="8" hidden="1"/>
    <col min="2" max="2" width="11.85546875" bestFit="1" customWidth="1"/>
    <col min="3" max="3" width="42.85546875" bestFit="1" customWidth="1"/>
    <col min="4" max="4" width="37.7109375" customWidth="1"/>
    <col min="5" max="5" width="43.42578125" hidden="1" customWidth="1"/>
    <col min="6" max="6" width="35.28515625" hidden="1" customWidth="1"/>
    <col min="7" max="7" width="35.42578125" hidden="1" customWidth="1"/>
    <col min="8" max="8" width="25.28515625" hidden="1" customWidth="1"/>
    <col min="9" max="9" width="21.42578125" hidden="1" customWidth="1"/>
    <col min="10" max="10" width="47.42578125" customWidth="1"/>
    <col min="12" max="12" width="62.28515625" customWidth="1"/>
  </cols>
  <sheetData>
    <row r="1" spans="1:12" ht="15.75" x14ac:dyDescent="0.25">
      <c r="A1" s="1" t="s">
        <v>0</v>
      </c>
      <c r="B1" s="1" t="s">
        <v>1</v>
      </c>
      <c r="C1" s="1" t="s">
        <v>2</v>
      </c>
      <c r="D1" s="40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242</v>
      </c>
    </row>
    <row r="2" spans="1:12" s="4" customFormat="1" ht="25.5" x14ac:dyDescent="0.25">
      <c r="A2" s="2" t="b">
        <v>1</v>
      </c>
      <c r="B2" s="5" t="s">
        <v>10</v>
      </c>
      <c r="C2" s="5" t="s">
        <v>10</v>
      </c>
      <c r="D2" s="60" t="s">
        <v>217</v>
      </c>
      <c r="E2" s="5" t="s">
        <v>11</v>
      </c>
      <c r="F2" s="5" t="s">
        <v>12</v>
      </c>
      <c r="G2" s="15" t="s">
        <v>13</v>
      </c>
      <c r="H2" s="5">
        <v>55545219</v>
      </c>
      <c r="I2" s="5">
        <v>55545219</v>
      </c>
      <c r="J2" s="5" t="s">
        <v>14</v>
      </c>
      <c r="K2" s="70" t="s">
        <v>241</v>
      </c>
      <c r="L2" s="4" t="e">
        <f>LEFT(D1,FIND(CHAR(10),D1)-1)</f>
        <v>#VALUE!</v>
      </c>
    </row>
    <row r="3" spans="1:12" s="4" customFormat="1" ht="25.5" x14ac:dyDescent="0.25">
      <c r="A3" s="2" t="b">
        <v>1</v>
      </c>
      <c r="B3" s="5" t="s">
        <v>15</v>
      </c>
      <c r="C3" s="5" t="s">
        <v>16</v>
      </c>
      <c r="D3" s="60" t="s">
        <v>218</v>
      </c>
      <c r="E3" s="5" t="s">
        <v>11</v>
      </c>
      <c r="F3" s="5" t="s">
        <v>17</v>
      </c>
      <c r="G3" s="21" t="s">
        <v>18</v>
      </c>
      <c r="H3" s="5">
        <v>50350554</v>
      </c>
      <c r="I3" s="5">
        <v>50350554</v>
      </c>
      <c r="J3" s="5" t="s">
        <v>19</v>
      </c>
      <c r="K3" s="70" t="s">
        <v>241</v>
      </c>
    </row>
    <row r="4" spans="1:12" s="4" customFormat="1" ht="25.5" x14ac:dyDescent="0.25">
      <c r="A4" s="3"/>
      <c r="B4" s="6" t="s">
        <v>20</v>
      </c>
      <c r="C4" s="6" t="s">
        <v>21</v>
      </c>
      <c r="D4" s="60" t="s">
        <v>219</v>
      </c>
      <c r="E4" s="6" t="s">
        <v>23</v>
      </c>
      <c r="F4" s="6" t="s">
        <v>22</v>
      </c>
      <c r="G4" s="25" t="s">
        <v>24</v>
      </c>
      <c r="H4" s="6">
        <v>55240010</v>
      </c>
      <c r="I4" s="6">
        <v>55240010</v>
      </c>
      <c r="J4" s="6" t="s">
        <v>25</v>
      </c>
      <c r="K4" s="70" t="s">
        <v>241</v>
      </c>
    </row>
    <row r="5" spans="1:12" s="4" customFormat="1" ht="25.5" x14ac:dyDescent="0.25">
      <c r="A5" s="2"/>
      <c r="B5" s="5" t="s">
        <v>27</v>
      </c>
      <c r="C5" s="5" t="s">
        <v>28</v>
      </c>
      <c r="D5" s="60" t="s">
        <v>220</v>
      </c>
      <c r="E5" s="5"/>
      <c r="F5" s="5" t="s">
        <v>29</v>
      </c>
      <c r="G5" s="15" t="s">
        <v>30</v>
      </c>
      <c r="H5" s="5">
        <v>55679692</v>
      </c>
      <c r="I5" s="5">
        <v>55679692</v>
      </c>
      <c r="J5" s="5" t="s">
        <v>31</v>
      </c>
      <c r="K5" s="70" t="s">
        <v>241</v>
      </c>
    </row>
    <row r="6" spans="1:12" s="4" customFormat="1" ht="25.5" hidden="1" x14ac:dyDescent="0.25">
      <c r="A6" s="2"/>
      <c r="B6" s="5" t="s">
        <v>33</v>
      </c>
      <c r="C6" s="5" t="s">
        <v>34</v>
      </c>
      <c r="D6" s="60" t="s">
        <v>221</v>
      </c>
      <c r="E6" s="5"/>
      <c r="F6" s="5" t="s">
        <v>35</v>
      </c>
      <c r="G6" s="21" t="s">
        <v>36</v>
      </c>
      <c r="H6" s="5">
        <v>33867785</v>
      </c>
      <c r="I6" s="5">
        <v>33867785</v>
      </c>
      <c r="J6" s="5" t="s">
        <v>37</v>
      </c>
    </row>
    <row r="7" spans="1:12" s="4" customFormat="1" ht="25.5" hidden="1" x14ac:dyDescent="0.25">
      <c r="A7" s="2" t="b">
        <v>1</v>
      </c>
      <c r="B7" s="5" t="s">
        <v>38</v>
      </c>
      <c r="C7" s="5" t="s">
        <v>39</v>
      </c>
      <c r="D7" s="60" t="s">
        <v>222</v>
      </c>
      <c r="E7" s="5" t="s">
        <v>32</v>
      </c>
      <c r="F7" s="5" t="s">
        <v>40</v>
      </c>
      <c r="G7" s="21" t="s">
        <v>41</v>
      </c>
      <c r="H7" s="5">
        <v>55995005</v>
      </c>
      <c r="I7" s="5">
        <v>55995005</v>
      </c>
      <c r="J7" s="5" t="s">
        <v>42</v>
      </c>
    </row>
    <row r="8" spans="1:12" s="4" customFormat="1" ht="30" x14ac:dyDescent="0.25">
      <c r="A8" s="2" t="b">
        <v>1</v>
      </c>
      <c r="B8" s="5" t="s">
        <v>43</v>
      </c>
      <c r="C8" s="5" t="s">
        <v>44</v>
      </c>
      <c r="D8" s="63" t="s">
        <v>223</v>
      </c>
      <c r="E8" s="5" t="s">
        <v>32</v>
      </c>
      <c r="F8" s="5" t="s">
        <v>45</v>
      </c>
      <c r="G8" s="17" t="s">
        <v>46</v>
      </c>
      <c r="H8" s="5">
        <v>31433444</v>
      </c>
      <c r="I8" s="5">
        <v>31433444</v>
      </c>
      <c r="J8" s="5" t="s">
        <v>47</v>
      </c>
      <c r="K8" s="70" t="s">
        <v>241</v>
      </c>
    </row>
    <row r="9" spans="1:12" s="49" customFormat="1" ht="25.5" hidden="1" x14ac:dyDescent="0.25">
      <c r="A9" s="47"/>
      <c r="B9" s="52" t="s">
        <v>48</v>
      </c>
      <c r="C9" s="50" t="s">
        <v>49</v>
      </c>
      <c r="D9" s="59" t="s">
        <v>224</v>
      </c>
      <c r="E9" s="51" t="s">
        <v>49</v>
      </c>
      <c r="F9" s="32" t="s">
        <v>50</v>
      </c>
      <c r="G9" s="48" t="s">
        <v>51</v>
      </c>
      <c r="H9" s="32">
        <v>55556562</v>
      </c>
      <c r="I9" s="32">
        <v>55556562</v>
      </c>
      <c r="J9" s="32" t="s">
        <v>52</v>
      </c>
    </row>
    <row r="10" spans="1:12" s="4" customFormat="1" hidden="1" x14ac:dyDescent="0.25">
      <c r="A10" s="2" t="b">
        <v>1</v>
      </c>
      <c r="B10" s="5" t="s">
        <v>53</v>
      </c>
      <c r="C10" s="5" t="s">
        <v>54</v>
      </c>
      <c r="D10" s="53"/>
      <c r="E10" s="5" t="s">
        <v>55</v>
      </c>
      <c r="F10" s="5" t="s">
        <v>56</v>
      </c>
      <c r="G10" s="15" t="s">
        <v>57</v>
      </c>
      <c r="H10" s="5">
        <v>33778716</v>
      </c>
      <c r="I10" s="5">
        <v>33778716</v>
      </c>
      <c r="J10" s="5" t="s">
        <v>58</v>
      </c>
    </row>
    <row r="11" spans="1:12" s="4" customFormat="1" ht="25.5" x14ac:dyDescent="0.25">
      <c r="A11" s="2"/>
      <c r="B11" s="5" t="s">
        <v>59</v>
      </c>
      <c r="C11" s="5" t="s">
        <v>60</v>
      </c>
      <c r="D11" s="60" t="s">
        <v>225</v>
      </c>
      <c r="E11" s="5" t="s">
        <v>59</v>
      </c>
      <c r="F11" s="5" t="s">
        <v>61</v>
      </c>
      <c r="G11" s="15" t="s">
        <v>62</v>
      </c>
      <c r="H11" s="5" t="s">
        <v>63</v>
      </c>
      <c r="I11" s="5" t="s">
        <v>63</v>
      </c>
      <c r="J11" s="5" t="s">
        <v>64</v>
      </c>
      <c r="K11" s="70" t="s">
        <v>241</v>
      </c>
    </row>
    <row r="12" spans="1:12" s="4" customFormat="1" ht="25.5" x14ac:dyDescent="0.25">
      <c r="A12" s="2"/>
      <c r="B12" s="5" t="s">
        <v>65</v>
      </c>
      <c r="C12" s="5" t="s">
        <v>66</v>
      </c>
      <c r="D12" s="64" t="s">
        <v>226</v>
      </c>
      <c r="E12" s="5" t="s">
        <v>55</v>
      </c>
      <c r="F12" s="5" t="s">
        <v>56</v>
      </c>
      <c r="G12" s="15" t="s">
        <v>57</v>
      </c>
      <c r="H12" s="5">
        <v>33778716</v>
      </c>
      <c r="I12" s="5">
        <v>33778716</v>
      </c>
      <c r="J12" s="5" t="s">
        <v>67</v>
      </c>
      <c r="K12" s="70" t="s">
        <v>241</v>
      </c>
    </row>
    <row r="13" spans="1:12" s="4" customFormat="1" ht="25.5" x14ac:dyDescent="0.25">
      <c r="A13" s="2"/>
      <c r="B13" s="32" t="s">
        <v>68</v>
      </c>
      <c r="C13" s="32" t="s">
        <v>69</v>
      </c>
      <c r="D13" s="64" t="s">
        <v>226</v>
      </c>
      <c r="E13" s="32"/>
      <c r="F13" s="32" t="s">
        <v>70</v>
      </c>
      <c r="G13" s="46" t="s">
        <v>71</v>
      </c>
      <c r="H13" s="32">
        <v>55288318</v>
      </c>
      <c r="I13" s="32">
        <v>55288318</v>
      </c>
      <c r="J13" s="5" t="s">
        <v>72</v>
      </c>
      <c r="K13" s="4" t="s">
        <v>241</v>
      </c>
    </row>
    <row r="14" spans="1:12" s="4" customFormat="1" ht="25.5" x14ac:dyDescent="0.25">
      <c r="A14" s="2" t="b">
        <v>1</v>
      </c>
      <c r="B14" s="5" t="s">
        <v>73</v>
      </c>
      <c r="C14" s="5" t="s">
        <v>74</v>
      </c>
      <c r="D14" s="55" t="s">
        <v>227</v>
      </c>
      <c r="E14" s="5" t="s">
        <v>55</v>
      </c>
      <c r="F14" s="5" t="s">
        <v>75</v>
      </c>
      <c r="G14" s="21" t="s">
        <v>76</v>
      </c>
      <c r="H14" s="5"/>
      <c r="I14" s="5"/>
      <c r="J14" s="5" t="s">
        <v>77</v>
      </c>
      <c r="K14" s="70" t="s">
        <v>241</v>
      </c>
    </row>
    <row r="15" spans="1:12" s="4" customFormat="1" hidden="1" x14ac:dyDescent="0.25">
      <c r="A15" s="2" t="b">
        <v>1</v>
      </c>
      <c r="B15" s="5" t="s">
        <v>78</v>
      </c>
      <c r="C15" s="5" t="s">
        <v>79</v>
      </c>
      <c r="D15" s="41"/>
      <c r="E15" s="5" t="s">
        <v>55</v>
      </c>
      <c r="F15" s="5" t="s">
        <v>80</v>
      </c>
      <c r="G15" s="21" t="s">
        <v>81</v>
      </c>
      <c r="H15" s="5">
        <v>66306632</v>
      </c>
      <c r="I15" s="5">
        <v>66306632</v>
      </c>
      <c r="J15" s="5" t="s">
        <v>82</v>
      </c>
    </row>
    <row r="16" spans="1:12" s="4" customFormat="1" ht="25.5" hidden="1" x14ac:dyDescent="0.25">
      <c r="A16" s="2"/>
      <c r="B16" s="58" t="s">
        <v>83</v>
      </c>
      <c r="C16" s="58" t="s">
        <v>84</v>
      </c>
      <c r="D16" s="60" t="s">
        <v>228</v>
      </c>
      <c r="E16" s="5" t="s">
        <v>55</v>
      </c>
      <c r="F16" s="5" t="s">
        <v>85</v>
      </c>
      <c r="G16" s="15" t="s">
        <v>86</v>
      </c>
      <c r="H16" s="5">
        <v>33968808</v>
      </c>
      <c r="I16" s="5">
        <v>33968808</v>
      </c>
      <c r="J16" s="5" t="s">
        <v>87</v>
      </c>
    </row>
    <row r="17" spans="1:11" s="4" customFormat="1" hidden="1" x14ac:dyDescent="0.25">
      <c r="A17" s="3"/>
      <c r="B17" s="6" t="s">
        <v>88</v>
      </c>
      <c r="C17" s="6" t="s">
        <v>89</v>
      </c>
      <c r="D17" s="42"/>
      <c r="E17" s="6" t="s">
        <v>90</v>
      </c>
      <c r="F17" s="6" t="s">
        <v>91</v>
      </c>
      <c r="G17" s="25" t="s">
        <v>92</v>
      </c>
      <c r="H17" s="6">
        <v>77535081</v>
      </c>
      <c r="I17" s="6">
        <v>77535081</v>
      </c>
      <c r="J17" s="6" t="s">
        <v>93</v>
      </c>
    </row>
    <row r="18" spans="1:11" s="4" customFormat="1" ht="51" x14ac:dyDescent="0.25">
      <c r="A18" s="3"/>
      <c r="B18" s="6" t="s">
        <v>94</v>
      </c>
      <c r="C18" s="19" t="s">
        <v>95</v>
      </c>
      <c r="D18" s="59" t="s">
        <v>229</v>
      </c>
      <c r="E18" s="20" t="s">
        <v>90</v>
      </c>
      <c r="F18" s="6" t="s">
        <v>96</v>
      </c>
      <c r="G18" s="25" t="s">
        <v>97</v>
      </c>
      <c r="H18" s="6">
        <v>33939988</v>
      </c>
      <c r="I18" s="6">
        <v>33939988</v>
      </c>
      <c r="J18" s="6" t="s">
        <v>98</v>
      </c>
      <c r="K18" s="70" t="s">
        <v>241</v>
      </c>
    </row>
    <row r="19" spans="1:11" s="4" customFormat="1" ht="25.5" x14ac:dyDescent="0.25">
      <c r="A19" s="3"/>
      <c r="B19" s="6" t="s">
        <v>99</v>
      </c>
      <c r="C19" s="6" t="s">
        <v>100</v>
      </c>
      <c r="D19" s="56" t="s">
        <v>230</v>
      </c>
      <c r="E19" s="6" t="s">
        <v>90</v>
      </c>
      <c r="F19" s="6" t="s">
        <v>101</v>
      </c>
      <c r="G19" s="25" t="s">
        <v>102</v>
      </c>
      <c r="H19" s="6">
        <v>66433633</v>
      </c>
      <c r="I19" s="6">
        <v>66433633</v>
      </c>
      <c r="J19" s="6" t="s">
        <v>103</v>
      </c>
      <c r="K19" s="70" t="s">
        <v>241</v>
      </c>
    </row>
    <row r="20" spans="1:11" s="4" customFormat="1" ht="25.5" x14ac:dyDescent="0.25">
      <c r="A20" s="3"/>
      <c r="B20" s="6" t="s">
        <v>104</v>
      </c>
      <c r="C20" s="6" t="s">
        <v>105</v>
      </c>
      <c r="D20" s="55" t="s">
        <v>231</v>
      </c>
      <c r="E20" s="6" t="s">
        <v>90</v>
      </c>
      <c r="F20" s="6" t="s">
        <v>106</v>
      </c>
      <c r="G20" s="25" t="s">
        <v>107</v>
      </c>
      <c r="H20" s="6">
        <v>66771890</v>
      </c>
      <c r="I20" s="6">
        <v>66771890</v>
      </c>
      <c r="J20" s="6" t="s">
        <v>108</v>
      </c>
      <c r="K20" s="70" t="s">
        <v>241</v>
      </c>
    </row>
    <row r="21" spans="1:11" s="4" customFormat="1" ht="25.5" x14ac:dyDescent="0.25">
      <c r="A21" s="3"/>
      <c r="B21" s="6" t="s">
        <v>109</v>
      </c>
      <c r="C21" s="6" t="s">
        <v>110</v>
      </c>
      <c r="D21" s="55" t="s">
        <v>232</v>
      </c>
      <c r="E21" s="6" t="s">
        <v>90</v>
      </c>
      <c r="F21" s="6" t="s">
        <v>111</v>
      </c>
      <c r="G21" s="25" t="s">
        <v>112</v>
      </c>
      <c r="H21" s="6">
        <v>70992205</v>
      </c>
      <c r="I21" s="6">
        <v>66964281</v>
      </c>
      <c r="J21" s="6" t="s">
        <v>113</v>
      </c>
      <c r="K21" s="70" t="s">
        <v>241</v>
      </c>
    </row>
    <row r="22" spans="1:11" s="4" customFormat="1" ht="25.5" x14ac:dyDescent="0.25">
      <c r="A22" s="3"/>
      <c r="B22" s="6" t="s">
        <v>114</v>
      </c>
      <c r="C22" s="6" t="s">
        <v>115</v>
      </c>
      <c r="D22" s="60" t="s">
        <v>233</v>
      </c>
      <c r="E22" s="6" t="s">
        <v>90</v>
      </c>
      <c r="F22" s="6" t="s">
        <v>116</v>
      </c>
      <c r="G22" s="16" t="s">
        <v>117</v>
      </c>
      <c r="H22" s="6">
        <v>31340566</v>
      </c>
      <c r="I22" s="6">
        <v>31340566</v>
      </c>
      <c r="J22" s="6" t="s">
        <v>118</v>
      </c>
      <c r="K22" s="70" t="s">
        <v>241</v>
      </c>
    </row>
    <row r="23" spans="1:11" s="4" customFormat="1" ht="25.5" x14ac:dyDescent="0.25">
      <c r="A23" s="3"/>
      <c r="B23" s="6" t="s">
        <v>119</v>
      </c>
      <c r="C23" s="6" t="s">
        <v>120</v>
      </c>
      <c r="D23" s="60" t="s">
        <v>234</v>
      </c>
      <c r="E23" s="6" t="s">
        <v>90</v>
      </c>
      <c r="F23" s="8" t="s">
        <v>121</v>
      </c>
      <c r="G23" s="24" t="s">
        <v>122</v>
      </c>
      <c r="H23" s="8">
        <v>55508460</v>
      </c>
      <c r="I23" s="8">
        <v>55508460</v>
      </c>
      <c r="J23" s="6" t="s">
        <v>123</v>
      </c>
      <c r="K23" s="70" t="s">
        <v>241</v>
      </c>
    </row>
    <row r="24" spans="1:11" s="4" customFormat="1" hidden="1" x14ac:dyDescent="0.25">
      <c r="A24" s="3"/>
      <c r="B24" s="6" t="s">
        <v>124</v>
      </c>
      <c r="C24" s="6" t="s">
        <v>125</v>
      </c>
      <c r="D24" s="62" t="s">
        <v>235</v>
      </c>
      <c r="E24" s="19" t="s">
        <v>90</v>
      </c>
      <c r="F24" s="22" t="s">
        <v>126</v>
      </c>
      <c r="G24" s="23" t="s">
        <v>127</v>
      </c>
      <c r="H24" s="22">
        <v>77774497</v>
      </c>
      <c r="I24" s="22">
        <v>77774497</v>
      </c>
      <c r="J24" s="20" t="s">
        <v>128</v>
      </c>
    </row>
    <row r="25" spans="1:11" s="4" customFormat="1" hidden="1" x14ac:dyDescent="0.25">
      <c r="A25" s="3"/>
      <c r="B25" s="6" t="s">
        <v>129</v>
      </c>
      <c r="C25" s="6" t="s">
        <v>130</v>
      </c>
      <c r="D25" s="41"/>
      <c r="E25" s="6" t="s">
        <v>90</v>
      </c>
      <c r="F25" s="6" t="s">
        <v>131</v>
      </c>
      <c r="G25" s="25" t="s">
        <v>132</v>
      </c>
      <c r="H25" s="6">
        <v>33645473</v>
      </c>
      <c r="I25" s="6">
        <v>33645473</v>
      </c>
      <c r="J25" s="6" t="s">
        <v>133</v>
      </c>
    </row>
    <row r="26" spans="1:11" s="4" customFormat="1" hidden="1" x14ac:dyDescent="0.25">
      <c r="A26" s="3"/>
      <c r="B26" s="6" t="s">
        <v>134</v>
      </c>
      <c r="C26" s="6" t="s">
        <v>135</v>
      </c>
      <c r="D26" s="62"/>
      <c r="E26" s="6" t="s">
        <v>90</v>
      </c>
      <c r="F26" s="6" t="s">
        <v>136</v>
      </c>
      <c r="G26" s="16" t="s">
        <v>137</v>
      </c>
      <c r="H26" s="6">
        <v>33223078</v>
      </c>
      <c r="I26" s="6">
        <v>33223078</v>
      </c>
      <c r="J26" s="6" t="s">
        <v>138</v>
      </c>
    </row>
    <row r="27" spans="1:11" s="4" customFormat="1" hidden="1" x14ac:dyDescent="0.25">
      <c r="A27" s="3"/>
      <c r="B27" s="6" t="s">
        <v>134</v>
      </c>
      <c r="C27" s="6" t="s">
        <v>135</v>
      </c>
      <c r="D27" s="61"/>
      <c r="E27" s="6" t="s">
        <v>90</v>
      </c>
      <c r="F27" s="6" t="s">
        <v>139</v>
      </c>
      <c r="G27" s="16" t="s">
        <v>140</v>
      </c>
      <c r="H27" s="6">
        <v>70074004</v>
      </c>
      <c r="I27" s="6">
        <v>70074004</v>
      </c>
      <c r="J27" s="6" t="s">
        <v>138</v>
      </c>
    </row>
    <row r="28" spans="1:11" s="4" customFormat="1" hidden="1" x14ac:dyDescent="0.25">
      <c r="A28" s="3"/>
      <c r="B28" s="6" t="s">
        <v>141</v>
      </c>
      <c r="C28" s="6" t="s">
        <v>142</v>
      </c>
      <c r="D28" s="62"/>
      <c r="E28" s="6" t="s">
        <v>90</v>
      </c>
      <c r="F28" s="6" t="s">
        <v>143</v>
      </c>
      <c r="G28" s="16" t="s">
        <v>144</v>
      </c>
      <c r="H28" s="6">
        <v>77501674</v>
      </c>
      <c r="I28" s="6">
        <v>31342022</v>
      </c>
      <c r="J28" s="6" t="s">
        <v>145</v>
      </c>
    </row>
    <row r="29" spans="1:11" s="4" customFormat="1" hidden="1" x14ac:dyDescent="0.25">
      <c r="A29" s="3"/>
      <c r="B29" s="6" t="s">
        <v>141</v>
      </c>
      <c r="C29" s="6" t="s">
        <v>142</v>
      </c>
      <c r="D29" s="61"/>
      <c r="E29" s="6"/>
      <c r="F29" s="6" t="s">
        <v>146</v>
      </c>
      <c r="G29" s="16" t="s">
        <v>147</v>
      </c>
      <c r="H29" s="6">
        <v>70654309</v>
      </c>
      <c r="I29" s="6">
        <v>70654309</v>
      </c>
      <c r="J29" s="6" t="s">
        <v>145</v>
      </c>
    </row>
    <row r="30" spans="1:11" s="4" customFormat="1" ht="25.5" x14ac:dyDescent="0.25">
      <c r="A30" s="3"/>
      <c r="B30" s="6" t="s">
        <v>148</v>
      </c>
      <c r="C30" s="6" t="s">
        <v>149</v>
      </c>
      <c r="D30" s="60" t="s">
        <v>236</v>
      </c>
      <c r="E30" s="6" t="s">
        <v>90</v>
      </c>
      <c r="F30" s="6" t="s">
        <v>150</v>
      </c>
      <c r="G30" s="25" t="s">
        <v>151</v>
      </c>
      <c r="H30" s="6">
        <v>52022000</v>
      </c>
      <c r="I30" s="6">
        <v>52022000</v>
      </c>
      <c r="J30" s="6" t="s">
        <v>152</v>
      </c>
      <c r="K30" s="70" t="s">
        <v>241</v>
      </c>
    </row>
    <row r="31" spans="1:11" s="4" customFormat="1" hidden="1" x14ac:dyDescent="0.25">
      <c r="A31" s="3"/>
      <c r="B31" s="6" t="s">
        <v>153</v>
      </c>
      <c r="C31" s="6" t="s">
        <v>154</v>
      </c>
      <c r="D31" s="41"/>
      <c r="E31" s="6" t="s">
        <v>90</v>
      </c>
      <c r="F31" s="6" t="s">
        <v>155</v>
      </c>
      <c r="G31" s="16" t="s">
        <v>156</v>
      </c>
      <c r="H31" s="6">
        <v>33155418</v>
      </c>
      <c r="I31" s="6">
        <v>33155418</v>
      </c>
      <c r="J31" s="6" t="s">
        <v>157</v>
      </c>
    </row>
    <row r="32" spans="1:11" s="4" customFormat="1" hidden="1" x14ac:dyDescent="0.25">
      <c r="A32" s="3"/>
      <c r="B32" s="6" t="s">
        <v>158</v>
      </c>
      <c r="C32" s="6" t="s">
        <v>159</v>
      </c>
      <c r="D32" s="54" t="s">
        <v>160</v>
      </c>
      <c r="E32" s="6"/>
      <c r="F32" s="6" t="s">
        <v>160</v>
      </c>
      <c r="G32" s="25" t="s">
        <v>161</v>
      </c>
      <c r="H32" s="6" t="s">
        <v>162</v>
      </c>
      <c r="I32" s="6" t="s">
        <v>162</v>
      </c>
      <c r="J32" s="6" t="s">
        <v>163</v>
      </c>
    </row>
    <row r="33" spans="1:11" s="4" customFormat="1" hidden="1" x14ac:dyDescent="0.25">
      <c r="A33" s="3"/>
      <c r="B33" s="6" t="s">
        <v>158</v>
      </c>
      <c r="C33" s="6" t="s">
        <v>159</v>
      </c>
      <c r="D33" s="54" t="s">
        <v>164</v>
      </c>
      <c r="E33" s="6"/>
      <c r="F33" s="6" t="s">
        <v>164</v>
      </c>
      <c r="G33" s="16" t="s">
        <v>165</v>
      </c>
      <c r="H33" s="6" t="s">
        <v>166</v>
      </c>
      <c r="I33" s="6" t="s">
        <v>166</v>
      </c>
      <c r="J33" s="6" t="s">
        <v>163</v>
      </c>
    </row>
    <row r="34" spans="1:11" s="4" customFormat="1" hidden="1" x14ac:dyDescent="0.25">
      <c r="A34" s="3"/>
      <c r="B34" s="6" t="s">
        <v>158</v>
      </c>
      <c r="C34" s="6" t="s">
        <v>159</v>
      </c>
      <c r="D34" s="54" t="s">
        <v>167</v>
      </c>
      <c r="E34" s="6"/>
      <c r="F34" s="6" t="s">
        <v>167</v>
      </c>
      <c r="G34" s="16" t="s">
        <v>168</v>
      </c>
      <c r="H34" s="6" t="s">
        <v>169</v>
      </c>
      <c r="I34" s="6" t="s">
        <v>169</v>
      </c>
      <c r="J34" s="6" t="s">
        <v>163</v>
      </c>
    </row>
    <row r="35" spans="1:11" s="4" customFormat="1" hidden="1" x14ac:dyDescent="0.25">
      <c r="A35" s="3"/>
      <c r="B35" s="6" t="s">
        <v>158</v>
      </c>
      <c r="C35" s="6" t="s">
        <v>159</v>
      </c>
      <c r="D35" s="54" t="s">
        <v>170</v>
      </c>
      <c r="E35" s="6"/>
      <c r="F35" s="6" t="s">
        <v>170</v>
      </c>
      <c r="G35" s="25" t="s">
        <v>171</v>
      </c>
      <c r="H35" s="6">
        <v>33422266</v>
      </c>
      <c r="I35" s="6">
        <v>33422266</v>
      </c>
      <c r="J35" s="6" t="s">
        <v>163</v>
      </c>
    </row>
    <row r="36" spans="1:11" s="4" customFormat="1" hidden="1" x14ac:dyDescent="0.25">
      <c r="A36" s="3"/>
      <c r="B36" s="6" t="s">
        <v>158</v>
      </c>
      <c r="C36" s="6" t="s">
        <v>159</v>
      </c>
      <c r="D36" s="54" t="s">
        <v>172</v>
      </c>
      <c r="E36" s="6"/>
      <c r="F36" s="6" t="s">
        <v>172</v>
      </c>
      <c r="G36" s="16" t="s">
        <v>173</v>
      </c>
      <c r="H36" s="6">
        <v>33777792</v>
      </c>
      <c r="I36" s="6">
        <v>33777792</v>
      </c>
      <c r="J36" s="6" t="s">
        <v>163</v>
      </c>
    </row>
    <row r="37" spans="1:11" s="4" customFormat="1" hidden="1" x14ac:dyDescent="0.25">
      <c r="A37" s="2" t="b">
        <v>1</v>
      </c>
      <c r="B37" s="6" t="s">
        <v>158</v>
      </c>
      <c r="C37" s="6" t="s">
        <v>159</v>
      </c>
      <c r="D37" s="41"/>
      <c r="E37" s="6"/>
      <c r="F37" s="6" t="s">
        <v>174</v>
      </c>
      <c r="G37" s="16"/>
      <c r="H37" s="6"/>
      <c r="I37" s="6"/>
      <c r="J37" s="6" t="s">
        <v>163</v>
      </c>
    </row>
    <row r="38" spans="1:11" s="4" customFormat="1" hidden="1" x14ac:dyDescent="0.25">
      <c r="A38" s="3"/>
      <c r="B38" s="6" t="s">
        <v>175</v>
      </c>
      <c r="C38" s="6" t="s">
        <v>176</v>
      </c>
      <c r="D38" s="41"/>
      <c r="E38" s="6" t="s">
        <v>90</v>
      </c>
      <c r="F38" s="6" t="s">
        <v>177</v>
      </c>
      <c r="G38" s="6"/>
      <c r="H38" s="6"/>
      <c r="I38" s="6"/>
      <c r="J38" s="6" t="s">
        <v>178</v>
      </c>
    </row>
    <row r="39" spans="1:11" hidden="1" x14ac:dyDescent="0.25">
      <c r="A39" s="2" t="b">
        <v>1</v>
      </c>
      <c r="B39" s="6" t="s">
        <v>179</v>
      </c>
      <c r="C39" s="6" t="s">
        <v>180</v>
      </c>
      <c r="D39" s="41"/>
      <c r="E39" s="6" t="s">
        <v>90</v>
      </c>
      <c r="F39" s="6" t="s">
        <v>181</v>
      </c>
      <c r="G39" s="18" t="s">
        <v>182</v>
      </c>
      <c r="H39" s="6">
        <v>33005977</v>
      </c>
      <c r="I39" s="6">
        <v>33005977</v>
      </c>
      <c r="J39" s="6" t="s">
        <v>183</v>
      </c>
    </row>
    <row r="40" spans="1:11" ht="25.5" hidden="1" x14ac:dyDescent="0.25">
      <c r="B40" s="10" t="s">
        <v>184</v>
      </c>
      <c r="C40" s="10" t="s">
        <v>185</v>
      </c>
      <c r="D40" s="69" t="s">
        <v>237</v>
      </c>
      <c r="E40" s="10"/>
      <c r="F40" s="10" t="s">
        <v>186</v>
      </c>
      <c r="G40" s="57" t="s">
        <v>187</v>
      </c>
      <c r="H40" s="10">
        <v>66955411</v>
      </c>
      <c r="I40" s="10">
        <v>66955411</v>
      </c>
      <c r="J40" s="10" t="s">
        <v>240</v>
      </c>
    </row>
    <row r="41" spans="1:11" ht="25.5" x14ac:dyDescent="0.25">
      <c r="B41" s="11" t="s">
        <v>188</v>
      </c>
      <c r="C41" s="12" t="s">
        <v>189</v>
      </c>
      <c r="D41" s="65" t="s">
        <v>238</v>
      </c>
      <c r="E41" s="11"/>
      <c r="F41" s="11" t="s">
        <v>190</v>
      </c>
      <c r="G41" s="13" t="s">
        <v>191</v>
      </c>
      <c r="H41" s="14">
        <v>74009398</v>
      </c>
      <c r="I41" s="14">
        <v>74009398</v>
      </c>
      <c r="J41" s="12" t="s">
        <v>239</v>
      </c>
      <c r="K41" t="s">
        <v>241</v>
      </c>
    </row>
    <row r="42" spans="1:11" hidden="1" x14ac:dyDescent="0.25">
      <c r="B42" s="11" t="s">
        <v>192</v>
      </c>
      <c r="C42" s="31" t="s">
        <v>193</v>
      </c>
      <c r="D42" s="66"/>
      <c r="E42" s="11"/>
      <c r="F42" s="11" t="s">
        <v>194</v>
      </c>
      <c r="G42" s="27" t="s">
        <v>195</v>
      </c>
      <c r="H42" s="14">
        <v>55610942</v>
      </c>
      <c r="I42" s="14">
        <v>55610942</v>
      </c>
      <c r="J42" s="12"/>
    </row>
    <row r="43" spans="1:11" hidden="1" x14ac:dyDescent="0.25">
      <c r="B43" s="11" t="s">
        <v>192</v>
      </c>
      <c r="C43" s="31" t="s">
        <v>193</v>
      </c>
      <c r="D43" s="67"/>
      <c r="E43" s="11"/>
      <c r="F43" s="28" t="s">
        <v>196</v>
      </c>
      <c r="G43" s="35" t="s">
        <v>197</v>
      </c>
      <c r="H43" s="29"/>
      <c r="I43" s="29"/>
      <c r="J43" s="30" t="s">
        <v>193</v>
      </c>
    </row>
    <row r="44" spans="1:11" hidden="1" x14ac:dyDescent="0.25">
      <c r="B44" s="28" t="s">
        <v>192</v>
      </c>
      <c r="C44" s="33" t="s">
        <v>193</v>
      </c>
      <c r="D44" s="67"/>
      <c r="E44" s="26"/>
      <c r="F44" s="11" t="s">
        <v>198</v>
      </c>
      <c r="G44" s="27" t="s">
        <v>199</v>
      </c>
      <c r="H44" s="14">
        <v>55175055</v>
      </c>
      <c r="I44" s="14">
        <v>55175055</v>
      </c>
      <c r="J44" s="12" t="s">
        <v>193</v>
      </c>
    </row>
    <row r="45" spans="1:11" hidden="1" x14ac:dyDescent="0.25">
      <c r="B45" s="11" t="s">
        <v>192</v>
      </c>
      <c r="C45" s="11" t="s">
        <v>193</v>
      </c>
      <c r="D45" s="68"/>
      <c r="E45" s="11"/>
      <c r="F45" s="36" t="s">
        <v>200</v>
      </c>
      <c r="G45" s="37" t="s">
        <v>201</v>
      </c>
      <c r="H45" s="38">
        <v>55053886</v>
      </c>
      <c r="I45" s="38">
        <v>55053886</v>
      </c>
      <c r="J45" s="39" t="s">
        <v>193</v>
      </c>
    </row>
    <row r="46" spans="1:11" s="4" customFormat="1" hidden="1" x14ac:dyDescent="0.25">
      <c r="A46" s="3"/>
      <c r="B46" s="32" t="s">
        <v>202</v>
      </c>
      <c r="C46" s="32" t="s">
        <v>203</v>
      </c>
      <c r="D46" s="43"/>
      <c r="E46" s="32" t="s">
        <v>203</v>
      </c>
      <c r="F46" s="32"/>
      <c r="G46" s="32"/>
      <c r="H46" s="32"/>
      <c r="I46" s="32"/>
      <c r="J46" s="32" t="s">
        <v>204</v>
      </c>
    </row>
    <row r="47" spans="1:11" hidden="1" x14ac:dyDescent="0.25">
      <c r="A47" s="3"/>
      <c r="B47" s="9"/>
      <c r="C47" s="34" t="s">
        <v>205</v>
      </c>
      <c r="D47" s="44"/>
      <c r="E47" s="9"/>
      <c r="F47" s="9"/>
      <c r="G47" s="9"/>
      <c r="H47" s="9"/>
      <c r="I47" s="9"/>
      <c r="J47" s="9" t="s">
        <v>206</v>
      </c>
    </row>
    <row r="48" spans="1:11" ht="25.5" hidden="1" x14ac:dyDescent="0.25">
      <c r="A48" s="3"/>
      <c r="B48" s="6"/>
      <c r="C48" s="7" t="s">
        <v>207</v>
      </c>
      <c r="D48" s="45"/>
      <c r="E48" s="6"/>
      <c r="F48" s="6"/>
      <c r="G48" s="6"/>
      <c r="H48" s="6"/>
      <c r="I48" s="6"/>
      <c r="J48" s="6" t="s">
        <v>208</v>
      </c>
    </row>
    <row r="49" spans="1:10" hidden="1" x14ac:dyDescent="0.25">
      <c r="A49" s="3"/>
      <c r="B49" s="6"/>
      <c r="C49" s="6" t="s">
        <v>209</v>
      </c>
      <c r="D49" s="41"/>
      <c r="E49" s="6"/>
      <c r="F49" s="6"/>
      <c r="G49" s="6"/>
      <c r="H49" s="6"/>
      <c r="I49" s="6"/>
      <c r="J49" s="6" t="s">
        <v>210</v>
      </c>
    </row>
    <row r="50" spans="1:10" hidden="1" x14ac:dyDescent="0.25">
      <c r="A50" s="3"/>
      <c r="B50" s="6"/>
      <c r="C50" s="6" t="s">
        <v>209</v>
      </c>
      <c r="D50" s="41"/>
      <c r="E50" s="6"/>
      <c r="F50" s="6" t="s">
        <v>26</v>
      </c>
      <c r="G50" s="6"/>
      <c r="H50" s="6"/>
      <c r="I50" s="6"/>
      <c r="J50" s="6" t="s">
        <v>210</v>
      </c>
    </row>
    <row r="51" spans="1:10" hidden="1" x14ac:dyDescent="0.25">
      <c r="A51" s="3"/>
      <c r="B51" s="6"/>
      <c r="C51" s="6" t="s">
        <v>211</v>
      </c>
      <c r="D51" s="41"/>
      <c r="E51" s="6"/>
      <c r="F51" s="6"/>
      <c r="G51" s="6"/>
      <c r="H51" s="6"/>
      <c r="I51" s="6"/>
      <c r="J51" s="6" t="s">
        <v>212</v>
      </c>
    </row>
    <row r="52" spans="1:10" hidden="1" x14ac:dyDescent="0.25">
      <c r="A52" s="3"/>
      <c r="B52" s="8"/>
      <c r="C52" s="8" t="s">
        <v>213</v>
      </c>
      <c r="D52" s="42"/>
      <c r="E52" s="8"/>
      <c r="F52" s="8"/>
      <c r="G52" s="8"/>
      <c r="H52" s="8"/>
      <c r="I52" s="8"/>
      <c r="J52" s="8" t="s">
        <v>214</v>
      </c>
    </row>
    <row r="53" spans="1:10" hidden="1" x14ac:dyDescent="0.25">
      <c r="B53" s="22"/>
      <c r="C53" s="22" t="s">
        <v>215</v>
      </c>
      <c r="D53" s="43"/>
      <c r="E53" s="22"/>
      <c r="F53" s="22"/>
      <c r="G53" s="22"/>
      <c r="H53" s="22"/>
      <c r="I53" s="22"/>
      <c r="J53" s="22" t="s">
        <v>216</v>
      </c>
    </row>
  </sheetData>
  <autoFilter ref="A1:K53" xr:uid="{00000000-0001-0000-0000-000000000000}">
    <filterColumn colId="10">
      <customFilters>
        <customFilter operator="notEqual" val=" "/>
      </customFilters>
    </filterColumn>
  </autoFilter>
  <hyperlinks>
    <hyperlink ref="G4" r:id="rId1" xr:uid="{2E560536-0AE7-419F-ABE4-50D2FA845D20}"/>
    <hyperlink ref="G3" r:id="rId2" xr:uid="{96B27229-9D47-421A-989A-75809216E45C}"/>
    <hyperlink ref="G10" r:id="rId3" xr:uid="{59375262-0B45-4CDE-A0A5-63821BB26F0B}"/>
    <hyperlink ref="G11" r:id="rId4" xr:uid="{13195F8A-5C29-4180-9BB4-4B7D544C9E33}"/>
    <hyperlink ref="G28" r:id="rId5" xr:uid="{F579F34E-0CA8-4746-93F9-268AC58CB60A}"/>
    <hyperlink ref="G29" r:id="rId6" xr:uid="{524689D8-F440-4F85-80AE-AA2C5BEDF446}"/>
    <hyperlink ref="G17" r:id="rId7" xr:uid="{3A0596C1-37E3-4AC9-B4DD-808F2A4A3BB2}"/>
    <hyperlink ref="G25" r:id="rId8" xr:uid="{0E2A1125-F897-4EFD-A792-B66403864EF0}"/>
    <hyperlink ref="G26" r:id="rId9" xr:uid="{B413F46C-EC07-49EE-B7BC-B2DF010B1C07}"/>
    <hyperlink ref="G27" r:id="rId10" xr:uid="{A4538898-9C72-4F80-BA3D-4C07D96FA39D}"/>
    <hyperlink ref="G5" r:id="rId11" xr:uid="{2858120C-CB91-4472-AC91-40701EA7FE58}"/>
    <hyperlink ref="G21" r:id="rId12" xr:uid="{3266637D-5BA2-4472-AE86-F1E8FDFB0D71}"/>
    <hyperlink ref="G23" r:id="rId13" xr:uid="{E5C1E49A-9667-4FAA-8F44-58A172BD1BE9}"/>
    <hyperlink ref="G39" r:id="rId14" xr:uid="{CEE1E8A0-04C9-486B-800D-201B27130754}"/>
    <hyperlink ref="G32" r:id="rId15" xr:uid="{A730F24E-1334-4026-9A39-3515B6941EEB}"/>
    <hyperlink ref="G33" r:id="rId16" xr:uid="{80F768A9-00E7-4403-BBD0-C9A02BF9ECDE}"/>
    <hyperlink ref="G34" r:id="rId17" xr:uid="{E1BEBDAF-D52D-4A7A-B899-69C07E9544DE}"/>
    <hyperlink ref="G35" r:id="rId18" xr:uid="{3523B003-FA6F-454D-825B-B04B8C525002}"/>
    <hyperlink ref="G36" r:id="rId19" xr:uid="{ECA733DA-4C2F-40A7-86E3-E56AAE541396}"/>
    <hyperlink ref="G31" r:id="rId20" xr:uid="{A3D0CA57-C3C1-406B-AEC0-0FC0327BBA2D}"/>
    <hyperlink ref="G9" r:id="rId21" xr:uid="{406C5154-3646-47DB-975A-DF6ED89600F1}"/>
    <hyperlink ref="G30" r:id="rId22" xr:uid="{F4229CC6-EB49-4CD9-9B7C-B42E70F0BF28}"/>
    <hyperlink ref="G18" r:id="rId23" xr:uid="{F977758D-0815-485A-8F33-78A54FB65BDF}"/>
    <hyperlink ref="G2" r:id="rId24" xr:uid="{CF1AF5B5-F831-4454-A977-7E0BDE423492}"/>
    <hyperlink ref="G40" r:id="rId25" xr:uid="{196F3B8B-39AF-4EC1-AB80-3DC05A6F0D2A}"/>
    <hyperlink ref="G16" r:id="rId26" xr:uid="{92ACF4A2-7F4F-4D89-80BF-0DC90407E86D}"/>
    <hyperlink ref="G8" r:id="rId27" xr:uid="{92B68A26-AD15-414C-B285-35E90360CA06}"/>
    <hyperlink ref="G41" r:id="rId28" xr:uid="{B25F400A-2A24-402B-BEE1-7508D62A45A3}"/>
    <hyperlink ref="G6" r:id="rId29" xr:uid="{337E63C1-E902-4B01-A32F-1801F4B2D180}"/>
    <hyperlink ref="G22" r:id="rId30" xr:uid="{5134CD1B-74DA-4528-9230-BBA73719A4AD}"/>
    <hyperlink ref="G15" r:id="rId31" xr:uid="{9B6CF899-792D-4203-829A-3F5E16CB7D36}"/>
    <hyperlink ref="G24" r:id="rId32" xr:uid="{CD6C8632-6CD7-4FE4-8D20-C3A50082F715}"/>
    <hyperlink ref="G20" r:id="rId33" xr:uid="{6A0A5FA1-56E2-473B-8D1A-BF11BDC3183C}"/>
    <hyperlink ref="G19" r:id="rId34" xr:uid="{073CDEAD-ABB2-4CBE-9650-264B92CD73F5}"/>
    <hyperlink ref="G7" r:id="rId35" xr:uid="{2E1B9B81-AA55-43C9-90BD-ED0C62FDF619}"/>
    <hyperlink ref="G14" r:id="rId36" xr:uid="{61AAFDCF-9065-43D1-A797-D7860C46D845}"/>
    <hyperlink ref="G42" r:id="rId37" xr:uid="{0D439EB0-FF2F-45FB-8380-9918DD5B25D9}"/>
    <hyperlink ref="G43" r:id="rId38" xr:uid="{B6C0E965-28C2-47D4-9EFB-FCF1C69C6DA3}"/>
    <hyperlink ref="G45" r:id="rId39" xr:uid="{60F64A50-F189-4E29-9680-C9535B03ECFB}"/>
    <hyperlink ref="G44" r:id="rId40" xr:uid="{A70E43FA-7651-4EBD-B73E-212E4E88665F}"/>
    <hyperlink ref="G13" r:id="rId41" xr:uid="{A1A96FFB-A38B-42C1-A93A-E1F50D251C5C}"/>
    <hyperlink ref="G12" r:id="rId42" xr:uid="{C705599C-C5B7-4778-935A-169AA77675DE}"/>
  </hyperlinks>
  <pageMargins left="0.7" right="0.7" top="0.75" bottom="0.75" header="0.3" footer="0.3"/>
  <headerFooter>
    <oddHeader>&amp;L&amp;"Aptos"&amp;12&amp;K800080 SC Classification:PUBLIC&amp;1#_x000D_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ColWidth="8.85546875" defaultRowHeight="15" x14ac:dyDescent="0.25"/>
  <cols>
    <col min="1" max="1" width="10" customWidth="1"/>
    <col min="2" max="2" width="60" customWidth="1"/>
    <col min="3" max="3" width="30" customWidth="1"/>
    <col min="4" max="4" width="20" customWidth="1"/>
  </cols>
  <sheetData/>
  <pageMargins left="0.7" right="0.7" top="0.75" bottom="0.75" header="0.3" footer="0.3"/>
  <headerFooter>
    <oddHeader>&amp;L&amp;"Aptos"&amp;12&amp;K800080 SC Classification:PUBLIC&amp;1#_x000D_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3F088644BD57448CD339F5F02EB6EB" ma:contentTypeVersion="4" ma:contentTypeDescription="Create a new document." ma:contentTypeScope="" ma:versionID="e6345697ef3e092e87686242534e6f53">
  <xsd:schema xmlns:xsd="http://www.w3.org/2001/XMLSchema" xmlns:xs="http://www.w3.org/2001/XMLSchema" xmlns:p="http://schemas.microsoft.com/office/2006/metadata/properties" xmlns:ns2="2028cff8-799a-4601-992e-254126270846" targetNamespace="http://schemas.microsoft.com/office/2006/metadata/properties" ma:root="true" ma:fieldsID="b8eb01b9d2e60ed4a8fc2e591c44cb4a" ns2:_="">
    <xsd:import namespace="2028cff8-799a-4601-992e-254126270846"/>
    <xsd:element name="properties">
      <xsd:complexType>
        <xsd:sequence>
          <xsd:element name="documentManagement">
            <xsd:complexType>
              <xsd:all>
                <xsd:element ref="ns2:MediaServiceBillingMetadata" minOccurs="0"/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028cff8-799a-4601-992e-254126270846" elementFormDefault="qualified">
    <xsd:import namespace="http://schemas.microsoft.com/office/2006/documentManagement/types"/>
    <xsd:import namespace="http://schemas.microsoft.com/office/infopath/2007/PartnerControls"/>
    <xsd:element name="MediaServiceBillingMetadata" ma:index="8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64CFCA9-8063-4C95-AFAA-DCF9DF90C56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E25C660-A62A-4BF5-8559-541F143505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028cff8-799a-4601-992e-25412627084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D96CB68-4A47-46A2-AFB3-21B740324281}">
  <ds:schemaRefs>
    <ds:schemaRef ds:uri="http://schemas.microsoft.com/office/2006/metadata/properties"/>
    <ds:schemaRef ds:uri="http://schemas.microsoft.com/office/infopath/2007/PartnerControls"/>
  </ds:schemaRefs>
</ds:datastoreItem>
</file>

<file path=docMetadata/LabelInfo.xml><?xml version="1.0" encoding="utf-8"?>
<clbl:labelList xmlns:clbl="http://schemas.microsoft.com/office/2020/mipLabelMetadata">
  <clbl:label id="{573f5887-035d-4765-8d10-97aaac8deb4a}" enabled="1" method="Standard" siteId="{f08ae827-76a0-4eda-8325-df208f3835ab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Contact List - 2026</vt:lpstr>
      <vt:lpstr>Comments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Apache POI</dc:creator>
  <cp:keywords/>
  <dc:description/>
  <cp:lastModifiedBy>Raafat Sabha</cp:lastModifiedBy>
  <cp:revision/>
  <dcterms:created xsi:type="dcterms:W3CDTF">2026-04-12T10:22:28Z</dcterms:created>
  <dcterms:modified xsi:type="dcterms:W3CDTF">2026-05-03T09:30:25Z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8c04dc0-3755-4291-9447-c813dd2135c8_Enabled">
    <vt:lpwstr>true</vt:lpwstr>
  </property>
  <property fmtid="{D5CDD505-2E9C-101B-9397-08002B2CF9AE}" pid="3" name="MSIP_Label_78c04dc0-3755-4291-9447-c813dd2135c8_SetDate">
    <vt:lpwstr>2026-04-12T10:23:00Z</vt:lpwstr>
  </property>
  <property fmtid="{D5CDD505-2E9C-101B-9397-08002B2CF9AE}" pid="4" name="MSIP_Label_78c04dc0-3755-4291-9447-c813dd2135c8_Method">
    <vt:lpwstr>Privileged</vt:lpwstr>
  </property>
  <property fmtid="{D5CDD505-2E9C-101B-9397-08002B2CF9AE}" pid="5" name="MSIP_Label_78c04dc0-3755-4291-9447-c813dd2135c8_Name">
    <vt:lpwstr>Public</vt:lpwstr>
  </property>
  <property fmtid="{D5CDD505-2E9C-101B-9397-08002B2CF9AE}" pid="6" name="MSIP_Label_78c04dc0-3755-4291-9447-c813dd2135c8_SiteId">
    <vt:lpwstr>993ca615-6bd5-4d1c-8a7b-a1a99efc64b7</vt:lpwstr>
  </property>
  <property fmtid="{D5CDD505-2E9C-101B-9397-08002B2CF9AE}" pid="7" name="MSIP_Label_78c04dc0-3755-4291-9447-c813dd2135c8_ActionId">
    <vt:lpwstr>901db2df-2c0b-4713-aecb-880f2543e089</vt:lpwstr>
  </property>
  <property fmtid="{D5CDD505-2E9C-101B-9397-08002B2CF9AE}" pid="8" name="MSIP_Label_78c04dc0-3755-4291-9447-c813dd2135c8_ContentBits">
    <vt:lpwstr>1</vt:lpwstr>
  </property>
  <property fmtid="{D5CDD505-2E9C-101B-9397-08002B2CF9AE}" pid="9" name="MSIP_Label_78c04dc0-3755-4291-9447-c813dd2135c8_Tag">
    <vt:lpwstr>10, 0, 1, 1</vt:lpwstr>
  </property>
  <property fmtid="{D5CDD505-2E9C-101B-9397-08002B2CF9AE}" pid="10" name="ContentTypeId">
    <vt:lpwstr>0x010100E13F088644BD57448CD339F5F02EB6EB</vt:lpwstr>
  </property>
</Properties>
</file>